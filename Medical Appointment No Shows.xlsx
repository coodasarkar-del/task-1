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1\"/>
    </mc:Choice>
  </mc:AlternateContent>
  <xr:revisionPtr revIDLastSave="0" documentId="13_ncr:1_{D43FD1CE-D3CD-4967-80BB-4189CF07967A}" xr6:coauthVersionLast="47" xr6:coauthVersionMax="47" xr10:uidLastSave="{00000000-0000-0000-0000-000000000000}"/>
  <bookViews>
    <workbookView xWindow="-120" yWindow="-120" windowWidth="21840" windowHeight="13020" xr2:uid="{C1CCC1ED-FFEF-41A2-9848-787B16D012F9}"/>
  </bookViews>
  <sheets>
    <sheet name="clean_data" sheetId="2" r:id="rId1"/>
    <sheet name="Sheet1" sheetId="1" r:id="rId2"/>
  </sheets>
  <definedNames>
    <definedName name="ExternalData_1" localSheetId="0" hidden="1">clean_data!$A$1:$O$105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2320C-37F0-4DC9-9F58-BE5EA4AB5E82}" keepAlive="1" name="Query - KaggleV2-May-2016" description="Connection to the 'KaggleV2-May-2016' query in the workbook." type="5" refreshedVersion="8" background="1" saveData="1">
    <dbPr connection="Provider=Microsoft.Mashup.OleDb.1;Data Source=$Workbook$;Location=KaggleV2-May-2016;Extended Properties=&quot;&quot;" command="SELECT * FROM [KaggleV2-May-2016]"/>
  </connection>
</connections>
</file>

<file path=xl/sharedStrings.xml><?xml version="1.0" encoding="utf-8"?>
<sst xmlns="http://schemas.openxmlformats.org/spreadsheetml/2006/main" count="323" uniqueCount="55">
  <si>
    <t>JARDIM DA PENHA</t>
  </si>
  <si>
    <t>No</t>
  </si>
  <si>
    <t>PONTAL DE CAMBURI</t>
  </si>
  <si>
    <t>REPÚBLICA</t>
  </si>
  <si>
    <t>GOIABEIRAS</t>
  </si>
  <si>
    <t>Yes</t>
  </si>
  <si>
    <t>ANDORINHAS</t>
  </si>
  <si>
    <t>CONQUISTA</t>
  </si>
  <si>
    <t>NOVA PALESTINA</t>
  </si>
  <si>
    <t>DA PENHA</t>
  </si>
  <si>
    <t>TABUAZEIRO</t>
  </si>
  <si>
    <t>BENTO FERREIRA</t>
  </si>
  <si>
    <t>SÃO PEDRO</t>
  </si>
  <si>
    <t>SANTA MARTHA</t>
  </si>
  <si>
    <t>SÃO CRISTÓVÃO</t>
  </si>
  <si>
    <t>MARUÍPE</t>
  </si>
  <si>
    <t>GRANDE VITÓRIA</t>
  </si>
  <si>
    <t>ILHA DAS CAIEIRAS</t>
  </si>
  <si>
    <t>SOLON BORGES</t>
  </si>
  <si>
    <t>BONFIM</t>
  </si>
  <si>
    <t>JARDIM CAMBURI</t>
  </si>
  <si>
    <t>MARIA ORTIZ</t>
  </si>
  <si>
    <t>JABOUR</t>
  </si>
  <si>
    <t>RESISTÊNCIA</t>
  </si>
  <si>
    <t>ILHA DE SANTA MARIA</t>
  </si>
  <si>
    <t>MÁRIO CYPRESTE</t>
  </si>
  <si>
    <t>SANTO ANTÔNIO</t>
  </si>
  <si>
    <t>BELA VISTA</t>
  </si>
  <si>
    <t>PRAIA DO SUÁ</t>
  </si>
  <si>
    <t>SANTA HELENA</t>
  </si>
  <si>
    <t>ITARARÉ</t>
  </si>
  <si>
    <t>REDENÇÃO</t>
  </si>
  <si>
    <t>CENTRO</t>
  </si>
  <si>
    <t>PARQUE MOSCOSO</t>
  </si>
  <si>
    <t>SANTOS DUMONT</t>
  </si>
  <si>
    <t>CARATOÍRA</t>
  </si>
  <si>
    <t>JOANA D´ARC</t>
  </si>
  <si>
    <t>ROMÃO</t>
  </si>
  <si>
    <t>Female</t>
  </si>
  <si>
    <t>Male</t>
  </si>
  <si>
    <t>patientId</t>
  </si>
  <si>
    <t>appointment_id</t>
  </si>
  <si>
    <t>gender</t>
  </si>
  <si>
    <t>scheduledDay</t>
  </si>
  <si>
    <t>appointmentDay</t>
  </si>
  <si>
    <t>age</t>
  </si>
  <si>
    <t>neighbourhood</t>
  </si>
  <si>
    <t>Neighbourhood2</t>
  </si>
  <si>
    <t>scholarship</t>
  </si>
  <si>
    <t>hipertension</t>
  </si>
  <si>
    <t>diabetes</t>
  </si>
  <si>
    <t>alcoholism</t>
  </si>
  <si>
    <t>handcap</t>
  </si>
  <si>
    <t>sms_received</t>
  </si>
  <si>
    <t>no-show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</si>
</sst>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30" formatCode="@"/>
    </dxf>
    <dxf>
      <numFmt numFmtId="0" formatCode="General"/>
    </dxf>
    <dxf>
      <numFmt numFmtId="1" formatCode="0"/>
    </dxf>
    <dxf>
      <numFmt numFmtId="19" formatCode="dd/mm/yyyy"/>
    </dxf>
    <dxf>
      <numFmt numFmtId="19" formatCode="dd/mm/yyyy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A4A958-7CF3-4321-95D5-FEC1A626EFF7}" autoFormatId="16" applyNumberFormats="0" applyBorderFormats="0" applyFontFormats="0" applyPatternFormats="0" applyAlignmentFormats="0" applyWidthHeightFormats="0">
  <queryTableRefresh nextId="18">
    <queryTableFields count="15">
      <queryTableField id="1" name="PatientId" tableColumnId="1"/>
      <queryTableField id="2" name="AppointmentID" tableColumnId="2"/>
      <queryTableField id="3" name="Gender" tableColumnId="3"/>
      <queryTableField id="4" name="ScheduledDay" tableColumnId="4"/>
      <queryTableField id="5" name="AppointmentDay" tableColumnId="5"/>
      <queryTableField id="6" name="Age" tableColumnId="6"/>
      <queryTableField id="7" name="Neighbourhood" tableColumnId="7"/>
      <queryTableField id="16" dataBound="0" tableColumnId="16"/>
      <queryTableField id="8" name="Scholarship" tableColumnId="8"/>
      <queryTableField id="9" name="Hipertension" tableColumnId="9"/>
      <queryTableField id="10" name="Diabetes" tableColumnId="10"/>
      <queryTableField id="11" name="Alcoholism" tableColumnId="11"/>
      <queryTableField id="12" name="Handcap" tableColumnId="12"/>
      <queryTableField id="13" name="SMS_received" tableColumnId="13"/>
      <queryTableField id="14" name="No-show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08E6-3E7C-49C2-8787-13E9A54C74AA}" name="Table_KaggleV2_May_2016" displayName="Table_KaggleV2_May_2016" ref="A1:O105" tableType="queryTable" totalsRowShown="0">
  <autoFilter ref="A1:O105" xr:uid="{260208E6-3E7C-49C2-8787-13E9A54C74AA}"/>
  <tableColumns count="15">
    <tableColumn id="1" xr3:uid="{68C7B2F5-B20B-490A-AB78-0438A8FB7740}" uniqueName="1" name="patientId" queryTableFieldId="1" dataDxfId="7"/>
    <tableColumn id="2" xr3:uid="{101B859D-12AA-4115-B235-F469E3681A24}" uniqueName="2" name="appointment_id" queryTableFieldId="2"/>
    <tableColumn id="3" xr3:uid="{533BA691-094D-4586-8BF8-F11390C73159}" uniqueName="3" name="gender" queryTableFieldId="3" dataDxfId="6"/>
    <tableColumn id="4" xr3:uid="{E2121D60-A5BD-4180-8C66-AE06E4AA9DCC}" uniqueName="4" name="scheduledDay" queryTableFieldId="4" dataDxfId="5"/>
    <tableColumn id="5" xr3:uid="{D39F4DDD-6596-49D9-9111-35648F42963B}" uniqueName="5" name="appointmentDay" queryTableFieldId="5" dataDxfId="4"/>
    <tableColumn id="6" xr3:uid="{9EBC9E32-3C16-4818-8FE2-A065D3AA0488}" uniqueName="6" name="age" queryTableFieldId="6" dataDxfId="3"/>
    <tableColumn id="7" xr3:uid="{A2D8B023-2683-42ED-9CBC-ABE6AF2B60B4}" uniqueName="7" name="Neighbourhood2" queryTableFieldId="7" dataDxfId="2"/>
    <tableColumn id="16" xr3:uid="{FB65285A-DCB6-471B-88BD-9292B51A21F7}" uniqueName="16" name="neighbourhood" queryTableFieldId="16" dataDxfId="1">
      <calculatedColumnFormula>PROPER(Table_KaggleV2_May_2016[[#This Row],[Neighbourhood2]])</calculatedColumnFormula>
    </tableColumn>
    <tableColumn id="8" xr3:uid="{521016F2-B03E-43F2-BF52-598FE2687F1E}" uniqueName="8" name="scholarship" queryTableFieldId="8"/>
    <tableColumn id="9" xr3:uid="{E7FB8AD0-EB59-40C4-B337-C21B2D1AE940}" uniqueName="9" name="hipertension" queryTableFieldId="9"/>
    <tableColumn id="10" xr3:uid="{4D88653A-4853-417F-8E07-08736E6AFB39}" uniqueName="10" name="diabetes" queryTableFieldId="10"/>
    <tableColumn id="11" xr3:uid="{1FD6F73B-142F-43F2-BA03-7AAD1C732244}" uniqueName="11" name="alcoholism" queryTableFieldId="11"/>
    <tableColumn id="12" xr3:uid="{3C9C1FA4-127C-4E87-8928-58808FAB663F}" uniqueName="12" name="handcap" queryTableFieldId="12"/>
    <tableColumn id="13" xr3:uid="{81247DD2-CEE2-4C95-BDA6-D056DC5DA0EC}" uniqueName="13" name="sms_received" queryTableFieldId="13"/>
    <tableColumn id="14" xr3:uid="{8A9D5A7E-5ADF-493C-92A8-F9B443835943}" uniqueName="14" name="no-show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3A05-7723-44A1-872B-01D78B7FF136}">
  <dimension ref="A1:O110528"/>
  <sheetViews>
    <sheetView tabSelected="1" topLeftCell="A7" workbookViewId="0">
      <selection activeCell="H23" sqref="H23"/>
    </sheetView>
  </sheetViews>
  <sheetFormatPr defaultRowHeight="15" x14ac:dyDescent="0.25"/>
  <cols>
    <col min="1" max="1" width="18.85546875" style="2" bestFit="1" customWidth="1"/>
    <col min="2" max="2" width="17.140625" bestFit="1" customWidth="1"/>
    <col min="3" max="3" width="10" bestFit="1" customWidth="1"/>
    <col min="4" max="4" width="16" bestFit="1" customWidth="1"/>
    <col min="5" max="5" width="18.5703125" bestFit="1" customWidth="1"/>
    <col min="6" max="6" width="8.28515625" style="3" customWidth="1"/>
    <col min="7" max="7" width="29.140625" hidden="1" customWidth="1"/>
    <col min="8" max="8" width="26.140625" style="4" bestFit="1" customWidth="1"/>
    <col min="9" max="9" width="13.42578125" bestFit="1" customWidth="1"/>
    <col min="10" max="10" width="14.85546875" bestFit="1" customWidth="1"/>
    <col min="11" max="11" width="11.140625" bestFit="1" customWidth="1"/>
    <col min="12" max="12" width="13.140625" bestFit="1" customWidth="1"/>
    <col min="13" max="13" width="10.85546875" bestFit="1" customWidth="1"/>
    <col min="14" max="14" width="16" bestFit="1" customWidth="1"/>
    <col min="15" max="15" width="11.28515625" bestFit="1" customWidth="1"/>
  </cols>
  <sheetData>
    <row r="1" spans="1:15" x14ac:dyDescent="0.25">
      <c r="A1" s="2" t="s">
        <v>40</v>
      </c>
      <c r="B1" t="s">
        <v>41</v>
      </c>
      <c r="C1" t="s">
        <v>42</v>
      </c>
      <c r="D1" t="s">
        <v>43</v>
      </c>
      <c r="E1" t="s">
        <v>44</v>
      </c>
      <c r="F1" s="3" t="s">
        <v>45</v>
      </c>
      <c r="G1" t="s">
        <v>47</v>
      </c>
      <c r="H1" s="4" t="s">
        <v>46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25">
      <c r="A2" s="2">
        <v>29872499824296</v>
      </c>
      <c r="B2">
        <v>5642903</v>
      </c>
      <c r="C2" t="s">
        <v>38</v>
      </c>
      <c r="D2" s="1">
        <v>42490</v>
      </c>
      <c r="E2" s="1">
        <v>42489</v>
      </c>
      <c r="F2" s="3">
        <v>62</v>
      </c>
      <c r="G2" t="s">
        <v>0</v>
      </c>
      <c r="H2" s="4" t="str">
        <f>PROPER(Table_KaggleV2_May_2016[[#This Row],[Neighbourhood2]])</f>
        <v>Jardim Da Penha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 t="s">
        <v>1</v>
      </c>
    </row>
    <row r="3" spans="1:15" x14ac:dyDescent="0.25">
      <c r="A3" s="2">
        <v>558997776694438</v>
      </c>
      <c r="B3">
        <v>5642503</v>
      </c>
      <c r="C3" t="s">
        <v>39</v>
      </c>
      <c r="D3" s="1">
        <v>42489</v>
      </c>
      <c r="E3" s="1">
        <v>42489</v>
      </c>
      <c r="F3" s="3">
        <v>56</v>
      </c>
      <c r="G3" t="s">
        <v>0</v>
      </c>
      <c r="H3" s="4" t="str">
        <f>PROPER(Table_KaggleV2_May_2016[[#This Row],[Neighbourhood2]])</f>
        <v>Jardim Da Penha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</v>
      </c>
    </row>
    <row r="4" spans="1:15" x14ac:dyDescent="0.25">
      <c r="A4" s="2">
        <v>867951213174</v>
      </c>
      <c r="B4">
        <v>5642828</v>
      </c>
      <c r="C4" t="s">
        <v>38</v>
      </c>
      <c r="D4" s="1">
        <v>42489</v>
      </c>
      <c r="E4" s="1">
        <v>42489</v>
      </c>
      <c r="F4" s="3">
        <v>8</v>
      </c>
      <c r="G4" t="s">
        <v>2</v>
      </c>
      <c r="H4" s="4" t="str">
        <f>PROPER(Table_KaggleV2_May_2016[[#This Row],[Neighbourhood2]])</f>
        <v>Pontal De Camburi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</v>
      </c>
    </row>
    <row r="5" spans="1:15" x14ac:dyDescent="0.25">
      <c r="A5" s="2">
        <v>95985133231274</v>
      </c>
      <c r="B5">
        <v>5626772</v>
      </c>
      <c r="C5" t="s">
        <v>38</v>
      </c>
      <c r="D5" s="1">
        <v>42487</v>
      </c>
      <c r="E5" s="1">
        <v>42489</v>
      </c>
      <c r="F5" s="3">
        <v>76</v>
      </c>
      <c r="G5" t="s">
        <v>3</v>
      </c>
      <c r="H5" s="4" t="str">
        <f>PROPER(Table_KaggleV2_May_2016[[#This Row],[Neighbourhood2]])</f>
        <v>República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 t="s">
        <v>1</v>
      </c>
    </row>
    <row r="6" spans="1:15" x14ac:dyDescent="0.25">
      <c r="A6" s="2">
        <v>733688164476661</v>
      </c>
      <c r="B6">
        <v>5630279</v>
      </c>
      <c r="C6" t="s">
        <v>38</v>
      </c>
      <c r="D6" s="1">
        <v>42487</v>
      </c>
      <c r="E6" s="1">
        <v>42489</v>
      </c>
      <c r="F6" s="3">
        <v>23</v>
      </c>
      <c r="G6" t="s">
        <v>4</v>
      </c>
      <c r="H6" s="4" t="str">
        <f>PROPER(Table_KaggleV2_May_2016[[#This Row],[Neighbourhood2]])</f>
        <v>Goiabeiras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5</v>
      </c>
    </row>
    <row r="7" spans="1:15" x14ac:dyDescent="0.25">
      <c r="A7" s="2">
        <v>3449833394123</v>
      </c>
      <c r="B7">
        <v>5630575</v>
      </c>
      <c r="C7" t="s">
        <v>38</v>
      </c>
      <c r="D7" s="1">
        <v>42487</v>
      </c>
      <c r="E7" s="1">
        <v>42489</v>
      </c>
      <c r="F7" s="3">
        <v>39</v>
      </c>
      <c r="G7" t="s">
        <v>4</v>
      </c>
      <c r="H7" s="4" t="str">
        <f>PROPER(Table_KaggleV2_May_2016[[#This Row],[Neighbourhood2]])</f>
        <v>Goiabeiras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5</v>
      </c>
    </row>
    <row r="8" spans="1:15" x14ac:dyDescent="0.25">
      <c r="A8" s="2">
        <v>56394729949972</v>
      </c>
      <c r="B8">
        <v>5638447</v>
      </c>
      <c r="C8" t="s">
        <v>38</v>
      </c>
      <c r="D8" s="1">
        <v>42489</v>
      </c>
      <c r="E8" s="1">
        <v>42489</v>
      </c>
      <c r="F8" s="3">
        <v>21</v>
      </c>
      <c r="G8" t="s">
        <v>6</v>
      </c>
      <c r="H8" s="4" t="str">
        <f>PROPER(Table_KaggleV2_May_2016[[#This Row],[Neighbourhood2]])</f>
        <v>Andorinhas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</v>
      </c>
    </row>
    <row r="9" spans="1:15" x14ac:dyDescent="0.25">
      <c r="A9" s="2">
        <v>78124564369297</v>
      </c>
      <c r="B9">
        <v>5629123</v>
      </c>
      <c r="C9" t="s">
        <v>38</v>
      </c>
      <c r="D9" s="1">
        <v>42487</v>
      </c>
      <c r="E9" s="1">
        <v>42489</v>
      </c>
      <c r="F9" s="3">
        <v>19</v>
      </c>
      <c r="G9" t="s">
        <v>7</v>
      </c>
      <c r="H9" s="4" t="str">
        <f>PROPER(Table_KaggleV2_May_2016[[#This Row],[Neighbourhood2]])</f>
        <v>Conquista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</v>
      </c>
    </row>
    <row r="10" spans="1:15" x14ac:dyDescent="0.25">
      <c r="A10" s="2">
        <v>734536231958495</v>
      </c>
      <c r="B10">
        <v>5630213</v>
      </c>
      <c r="C10" t="s">
        <v>38</v>
      </c>
      <c r="D10" s="1">
        <v>42487</v>
      </c>
      <c r="E10" s="1">
        <v>42489</v>
      </c>
      <c r="F10" s="3">
        <v>30</v>
      </c>
      <c r="G10" t="s">
        <v>8</v>
      </c>
      <c r="H10" s="4" t="str">
        <f>PROPER(Table_KaggleV2_May_2016[[#This Row],[Neighbourhood2]])</f>
        <v>Nova Palestina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</v>
      </c>
    </row>
    <row r="11" spans="1:15" x14ac:dyDescent="0.25">
      <c r="A11" s="2">
        <v>7542951368435</v>
      </c>
      <c r="B11">
        <v>5620163</v>
      </c>
      <c r="C11" t="s">
        <v>39</v>
      </c>
      <c r="D11" s="1">
        <v>42486</v>
      </c>
      <c r="E11" s="1">
        <v>42489</v>
      </c>
      <c r="F11" s="3">
        <v>29</v>
      </c>
      <c r="G11" t="s">
        <v>8</v>
      </c>
      <c r="H11" s="4" t="str">
        <f>PROPER(Table_KaggleV2_May_2016[[#This Row],[Neighbourhood2]])</f>
        <v>Nova Palestina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 t="s">
        <v>5</v>
      </c>
    </row>
    <row r="12" spans="1:15" x14ac:dyDescent="0.25">
      <c r="A12" s="2">
        <v>566654781423437</v>
      </c>
      <c r="B12">
        <v>5634718</v>
      </c>
      <c r="C12" t="s">
        <v>38</v>
      </c>
      <c r="D12" s="1">
        <v>42488</v>
      </c>
      <c r="E12" s="1">
        <v>42489</v>
      </c>
      <c r="F12" s="3">
        <v>22</v>
      </c>
      <c r="G12" t="s">
        <v>8</v>
      </c>
      <c r="H12" s="4" t="str">
        <f>PROPER(Table_KaggleV2_May_2016[[#This Row],[Neighbourhood2]])</f>
        <v>Nova Palestina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</v>
      </c>
    </row>
    <row r="13" spans="1:15" x14ac:dyDescent="0.25">
      <c r="A13" s="2">
        <v>911394617215919</v>
      </c>
      <c r="B13">
        <v>5636249</v>
      </c>
      <c r="C13" t="s">
        <v>39</v>
      </c>
      <c r="D13" s="1">
        <v>42488</v>
      </c>
      <c r="E13" s="1">
        <v>42489</v>
      </c>
      <c r="F13" s="3">
        <v>28</v>
      </c>
      <c r="G13" t="s">
        <v>8</v>
      </c>
      <c r="H13" s="4" t="str">
        <f>PROPER(Table_KaggleV2_May_2016[[#This Row],[Neighbourhood2]])</f>
        <v>Nova Palestina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</v>
      </c>
    </row>
    <row r="14" spans="1:15" x14ac:dyDescent="0.25">
      <c r="A14" s="2">
        <v>99884723334928</v>
      </c>
      <c r="B14">
        <v>5633951</v>
      </c>
      <c r="C14" t="s">
        <v>38</v>
      </c>
      <c r="D14" s="1">
        <v>42488</v>
      </c>
      <c r="E14" s="1">
        <v>42489</v>
      </c>
      <c r="F14" s="3">
        <v>54</v>
      </c>
      <c r="G14" t="s">
        <v>8</v>
      </c>
      <c r="H14" s="4" t="str">
        <f>PROPER(Table_KaggleV2_May_2016[[#This Row],[Neighbourhood2]])</f>
        <v>Nova Palestina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</v>
      </c>
    </row>
    <row r="15" spans="1:15" x14ac:dyDescent="0.25">
      <c r="A15" s="2">
        <v>99948393975</v>
      </c>
      <c r="B15">
        <v>5620206</v>
      </c>
      <c r="C15" t="s">
        <v>38</v>
      </c>
      <c r="D15" s="1">
        <v>42486</v>
      </c>
      <c r="E15" s="1">
        <v>42489</v>
      </c>
      <c r="F15" s="3">
        <v>15</v>
      </c>
      <c r="G15" t="s">
        <v>8</v>
      </c>
      <c r="H15" s="4" t="str">
        <f>PROPER(Table_KaggleV2_May_2016[[#This Row],[Neighbourhood2]])</f>
        <v>Nova Palestina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 t="s">
        <v>1</v>
      </c>
    </row>
    <row r="16" spans="1:15" x14ac:dyDescent="0.25">
      <c r="A16" s="2">
        <v>84574392942817</v>
      </c>
      <c r="B16">
        <v>5633121</v>
      </c>
      <c r="C16" t="s">
        <v>39</v>
      </c>
      <c r="D16" s="1">
        <v>42488</v>
      </c>
      <c r="E16" s="1">
        <v>42489</v>
      </c>
      <c r="F16" s="3">
        <v>50</v>
      </c>
      <c r="G16" t="s">
        <v>8</v>
      </c>
      <c r="H16" s="4" t="str">
        <f>PROPER(Table_KaggleV2_May_2016[[#This Row],[Neighbourhood2]])</f>
        <v>Nova Palestina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</v>
      </c>
    </row>
    <row r="17" spans="1:15" x14ac:dyDescent="0.25">
      <c r="A17" s="2">
        <v>14794966191172</v>
      </c>
      <c r="B17">
        <v>5633460</v>
      </c>
      <c r="C17" t="s">
        <v>38</v>
      </c>
      <c r="D17" s="1">
        <v>42488</v>
      </c>
      <c r="E17" s="1">
        <v>42489</v>
      </c>
      <c r="F17" s="3">
        <v>40</v>
      </c>
      <c r="G17" t="s">
        <v>7</v>
      </c>
      <c r="H17" s="4" t="str">
        <f>PROPER(Table_KaggleV2_May_2016[[#This Row],[Neighbourhood2]])</f>
        <v>Conquista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5</v>
      </c>
    </row>
    <row r="18" spans="1:15" x14ac:dyDescent="0.25">
      <c r="A18" s="2">
        <v>7223289184215</v>
      </c>
      <c r="B18">
        <v>5640433</v>
      </c>
      <c r="C18" t="s">
        <v>38</v>
      </c>
      <c r="D18" s="1">
        <v>42489</v>
      </c>
      <c r="E18" s="1">
        <v>42489</v>
      </c>
      <c r="F18" s="3">
        <v>46</v>
      </c>
      <c r="G18" t="s">
        <v>9</v>
      </c>
      <c r="H18" s="4" t="str">
        <f>PROPER(Table_KaggleV2_May_2016[[#This Row],[Neighbourhood2]])</f>
        <v>Da Penha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</v>
      </c>
    </row>
    <row r="19" spans="1:15" x14ac:dyDescent="0.25">
      <c r="A19" s="2">
        <v>12154843752835</v>
      </c>
      <c r="B19">
        <v>5628338</v>
      </c>
      <c r="C19" t="s">
        <v>38</v>
      </c>
      <c r="D19" s="1">
        <v>42487</v>
      </c>
      <c r="E19" s="1">
        <v>42489</v>
      </c>
      <c r="F19" s="3">
        <v>4</v>
      </c>
      <c r="G19" t="s">
        <v>7</v>
      </c>
      <c r="H19" s="4" t="str">
        <f>PROPER(Table_KaggleV2_May_2016[[#This Row],[Neighbourhood2]])</f>
        <v>Conquista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5</v>
      </c>
    </row>
    <row r="20" spans="1:15" x14ac:dyDescent="0.25">
      <c r="A20" s="2">
        <v>863229818887631</v>
      </c>
      <c r="B20">
        <v>5616091</v>
      </c>
      <c r="C20" t="s">
        <v>39</v>
      </c>
      <c r="D20" s="1">
        <v>42485</v>
      </c>
      <c r="E20" s="1">
        <v>42489</v>
      </c>
      <c r="F20" s="3">
        <v>13</v>
      </c>
      <c r="G20" t="s">
        <v>7</v>
      </c>
      <c r="H20" s="4" t="str">
        <f>PROPER(Table_KaggleV2_May_2016[[#This Row],[Neighbourhood2]])</f>
        <v>Conquista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 t="s">
        <v>5</v>
      </c>
    </row>
    <row r="21" spans="1:15" x14ac:dyDescent="0.25">
      <c r="A21" s="2">
        <v>8734857996885</v>
      </c>
      <c r="B21">
        <v>5641780</v>
      </c>
      <c r="C21" t="s">
        <v>38</v>
      </c>
      <c r="D21" s="1">
        <v>42489</v>
      </c>
      <c r="E21" s="1">
        <v>42489</v>
      </c>
      <c r="F21" s="3">
        <v>65</v>
      </c>
      <c r="G21" t="s">
        <v>10</v>
      </c>
      <c r="H21" s="4" t="str">
        <f>PROPER(Table_KaggleV2_May_2016[[#This Row],[Neighbourhood2]])</f>
        <v>Tabuazeiro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</v>
      </c>
    </row>
    <row r="22" spans="1:15" x14ac:dyDescent="0.25">
      <c r="A22" s="2">
        <v>25787851512</v>
      </c>
      <c r="B22">
        <v>5641781</v>
      </c>
      <c r="C22" t="s">
        <v>38</v>
      </c>
      <c r="D22" s="1">
        <v>42489</v>
      </c>
      <c r="E22" s="1">
        <v>42489</v>
      </c>
      <c r="F22" s="3">
        <v>45</v>
      </c>
      <c r="G22" t="s">
        <v>11</v>
      </c>
      <c r="H22" s="4" t="str">
        <f>PROPER(Table_KaggleV2_May_2016[[#This Row],[Neighbourhood2]])</f>
        <v>Bento Ferreira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 t="s">
        <v>1</v>
      </c>
    </row>
    <row r="23" spans="1:15" x14ac:dyDescent="0.25">
      <c r="A23" s="2">
        <v>5926171692527</v>
      </c>
      <c r="B23">
        <v>5642400</v>
      </c>
      <c r="C23" t="s">
        <v>39</v>
      </c>
      <c r="D23" s="1">
        <v>42489</v>
      </c>
      <c r="E23" s="1">
        <v>42489</v>
      </c>
      <c r="F23" s="3">
        <v>51</v>
      </c>
      <c r="G23" t="s">
        <v>12</v>
      </c>
      <c r="H23" s="4" t="str">
        <f>PROPER(Table_KaggleV2_May_2016[[#This Row],[Neighbourhood2]])</f>
        <v>São Pedro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</v>
      </c>
    </row>
    <row r="24" spans="1:15" x14ac:dyDescent="0.25">
      <c r="A24" s="2">
        <v>1225776163665</v>
      </c>
      <c r="B24">
        <v>5642186</v>
      </c>
      <c r="C24" t="s">
        <v>38</v>
      </c>
      <c r="D24" s="1">
        <v>42489</v>
      </c>
      <c r="E24" s="1">
        <v>42489</v>
      </c>
      <c r="F24" s="3">
        <v>32</v>
      </c>
      <c r="G24" t="s">
        <v>13</v>
      </c>
      <c r="H24" s="4" t="str">
        <f>PROPER(Table_KaggleV2_May_2016[[#This Row],[Neighbourhood2]])</f>
        <v>Santa Martha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</v>
      </c>
    </row>
    <row r="25" spans="1:15" x14ac:dyDescent="0.25">
      <c r="A25" s="2">
        <v>311284853849</v>
      </c>
      <c r="B25">
        <v>5628907</v>
      </c>
      <c r="C25" t="s">
        <v>39</v>
      </c>
      <c r="D25" s="1">
        <v>42487</v>
      </c>
      <c r="E25" s="1">
        <v>42489</v>
      </c>
      <c r="F25" s="3">
        <v>12</v>
      </c>
      <c r="G25" t="s">
        <v>8</v>
      </c>
      <c r="H25" s="4" t="str">
        <f>PROPER(Table_KaggleV2_May_2016[[#This Row],[Neighbourhood2]])</f>
        <v>Nova Palestina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5</v>
      </c>
    </row>
    <row r="26" spans="1:15" x14ac:dyDescent="0.25">
      <c r="A26" s="2">
        <v>52883562769472</v>
      </c>
      <c r="B26">
        <v>5637908</v>
      </c>
      <c r="C26" t="s">
        <v>39</v>
      </c>
      <c r="D26" s="1">
        <v>42489</v>
      </c>
      <c r="E26" s="1">
        <v>42489</v>
      </c>
      <c r="F26" s="3">
        <v>61</v>
      </c>
      <c r="G26" t="s">
        <v>14</v>
      </c>
      <c r="H26" s="4" t="str">
        <f>PROPER(Table_KaggleV2_May_2016[[#This Row],[Neighbourhood2]])</f>
        <v>São Cristóvão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 t="s">
        <v>1</v>
      </c>
    </row>
    <row r="27" spans="1:15" x14ac:dyDescent="0.25">
      <c r="A27" s="2">
        <v>7653516999712</v>
      </c>
      <c r="B27">
        <v>5616921</v>
      </c>
      <c r="C27" t="s">
        <v>38</v>
      </c>
      <c r="D27" s="1">
        <v>42485</v>
      </c>
      <c r="E27" s="1">
        <v>42489</v>
      </c>
      <c r="F27" s="3">
        <v>38</v>
      </c>
      <c r="G27" t="s">
        <v>14</v>
      </c>
      <c r="H27" s="4" t="str">
        <f>PROPER(Table_KaggleV2_May_2016[[#This Row],[Neighbourhood2]])</f>
        <v>São Cristóvão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 t="s">
        <v>1</v>
      </c>
    </row>
    <row r="28" spans="1:15" x14ac:dyDescent="0.25">
      <c r="A28" s="2">
        <v>19999756532994</v>
      </c>
      <c r="B28">
        <v>5637963</v>
      </c>
      <c r="C28" t="s">
        <v>38</v>
      </c>
      <c r="D28" s="1">
        <v>42489</v>
      </c>
      <c r="E28" s="1">
        <v>42489</v>
      </c>
      <c r="F28" s="3">
        <v>79</v>
      </c>
      <c r="G28" t="s">
        <v>14</v>
      </c>
      <c r="H28" s="4" t="str">
        <f>PROPER(Table_KaggleV2_May_2016[[#This Row],[Neighbourhood2]])</f>
        <v>São Cristóvão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1</v>
      </c>
    </row>
    <row r="29" spans="1:15" x14ac:dyDescent="0.25">
      <c r="A29" s="2">
        <v>78162635161611</v>
      </c>
      <c r="B29">
        <v>5637968</v>
      </c>
      <c r="C29" t="s">
        <v>39</v>
      </c>
      <c r="D29" s="1">
        <v>42489</v>
      </c>
      <c r="E29" s="1">
        <v>42489</v>
      </c>
      <c r="F29" s="3">
        <v>18</v>
      </c>
      <c r="G29" t="s">
        <v>14</v>
      </c>
      <c r="H29" s="4" t="str">
        <f>PROPER(Table_KaggleV2_May_2016[[#This Row],[Neighbourhood2]])</f>
        <v>São Cristóvão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</v>
      </c>
    </row>
    <row r="30" spans="1:15" x14ac:dyDescent="0.25">
      <c r="A30" s="2">
        <v>72984587621439</v>
      </c>
      <c r="B30">
        <v>5637975</v>
      </c>
      <c r="C30" t="s">
        <v>38</v>
      </c>
      <c r="D30" s="1">
        <v>42489</v>
      </c>
      <c r="E30" s="1">
        <v>42489</v>
      </c>
      <c r="F30" s="3">
        <v>63</v>
      </c>
      <c r="G30" t="s">
        <v>14</v>
      </c>
      <c r="H30" s="4" t="str">
        <f>PROPER(Table_KaggleV2_May_2016[[#This Row],[Neighbourhood2]])</f>
        <v>São Cristóvão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 t="s">
        <v>1</v>
      </c>
    </row>
    <row r="31" spans="1:15" x14ac:dyDescent="0.25">
      <c r="A31" s="2">
        <v>1578131861739</v>
      </c>
      <c r="B31">
        <v>5637986</v>
      </c>
      <c r="C31" t="s">
        <v>38</v>
      </c>
      <c r="D31" s="1">
        <v>42489</v>
      </c>
      <c r="E31" s="1">
        <v>42489</v>
      </c>
      <c r="F31" s="3">
        <v>64</v>
      </c>
      <c r="G31" t="s">
        <v>10</v>
      </c>
      <c r="H31" s="4" t="str">
        <f>PROPER(Table_KaggleV2_May_2016[[#This Row],[Neighbourhood2]])</f>
        <v>Tabuazeiro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 t="s">
        <v>1</v>
      </c>
    </row>
    <row r="32" spans="1:15" x14ac:dyDescent="0.25">
      <c r="A32" s="2">
        <v>5873315843778</v>
      </c>
      <c r="B32">
        <v>5609446</v>
      </c>
      <c r="C32" t="s">
        <v>39</v>
      </c>
      <c r="D32" s="1">
        <v>42480</v>
      </c>
      <c r="E32" s="1">
        <v>42489</v>
      </c>
      <c r="F32" s="3">
        <v>85</v>
      </c>
      <c r="G32" t="s">
        <v>14</v>
      </c>
      <c r="H32" s="4" t="str">
        <f>PROPER(Table_KaggleV2_May_2016[[#This Row],[Neighbourhood2]])</f>
        <v>São Cristóvão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 t="s">
        <v>1</v>
      </c>
    </row>
    <row r="33" spans="1:15" x14ac:dyDescent="0.25">
      <c r="A33" s="2">
        <v>14556231793236</v>
      </c>
      <c r="B33">
        <v>5639644</v>
      </c>
      <c r="C33" t="s">
        <v>38</v>
      </c>
      <c r="D33" s="1">
        <v>42489</v>
      </c>
      <c r="E33" s="1">
        <v>42489</v>
      </c>
      <c r="F33" s="3">
        <v>59</v>
      </c>
      <c r="G33" t="s">
        <v>14</v>
      </c>
      <c r="H33" s="4" t="str">
        <f>PROPER(Table_KaggleV2_May_2016[[#This Row],[Neighbourhood2]])</f>
        <v>São Cristóvão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</v>
      </c>
    </row>
    <row r="34" spans="1:15" x14ac:dyDescent="0.25">
      <c r="A34" s="2">
        <v>996868412638744</v>
      </c>
      <c r="B34">
        <v>5635881</v>
      </c>
      <c r="C34" t="s">
        <v>38</v>
      </c>
      <c r="D34" s="1">
        <v>42488</v>
      </c>
      <c r="E34" s="1">
        <v>42489</v>
      </c>
      <c r="F34" s="3">
        <v>55</v>
      </c>
      <c r="G34" t="s">
        <v>10</v>
      </c>
      <c r="H34" s="4" t="str">
        <f>PROPER(Table_KaggleV2_May_2016[[#This Row],[Neighbourhood2]])</f>
        <v>Tabuazeiro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</v>
      </c>
    </row>
    <row r="35" spans="1:15" x14ac:dyDescent="0.25">
      <c r="A35" s="2">
        <v>822432466381793</v>
      </c>
      <c r="B35">
        <v>5633339</v>
      </c>
      <c r="C35" t="s">
        <v>38</v>
      </c>
      <c r="D35" s="1">
        <v>42488</v>
      </c>
      <c r="E35" s="1">
        <v>42489</v>
      </c>
      <c r="F35" s="3">
        <v>71</v>
      </c>
      <c r="G35" t="s">
        <v>15</v>
      </c>
      <c r="H35" s="4" t="str">
        <f>PROPER(Table_KaggleV2_May_2016[[#This Row],[Neighbourhood2]])</f>
        <v>Maruípe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 t="s">
        <v>1</v>
      </c>
    </row>
    <row r="36" spans="1:15" x14ac:dyDescent="0.25">
      <c r="A36" s="2">
        <v>71558956872246</v>
      </c>
      <c r="B36">
        <v>5641620</v>
      </c>
      <c r="C36" t="s">
        <v>38</v>
      </c>
      <c r="D36" s="1">
        <v>42489</v>
      </c>
      <c r="E36" s="1">
        <v>42489</v>
      </c>
      <c r="F36" s="3">
        <v>49</v>
      </c>
      <c r="G36" t="s">
        <v>14</v>
      </c>
      <c r="H36" s="4" t="str">
        <f>PROPER(Table_KaggleV2_May_2016[[#This Row],[Neighbourhood2]])</f>
        <v>São Cristóvão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 t="s">
        <v>1</v>
      </c>
    </row>
    <row r="37" spans="1:15" x14ac:dyDescent="0.25">
      <c r="A37" s="2">
        <v>274164858852</v>
      </c>
      <c r="B37">
        <v>5635414</v>
      </c>
      <c r="C37" t="s">
        <v>38</v>
      </c>
      <c r="D37" s="1">
        <v>42488</v>
      </c>
      <c r="E37" s="1">
        <v>42489</v>
      </c>
      <c r="F37" s="3">
        <v>78</v>
      </c>
      <c r="G37" t="s">
        <v>14</v>
      </c>
      <c r="H37" s="4" t="str">
        <f>PROPER(Table_KaggleV2_May_2016[[#This Row],[Neighbourhood2]])</f>
        <v>São Cristóvão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 t="s">
        <v>5</v>
      </c>
    </row>
    <row r="38" spans="1:15" x14ac:dyDescent="0.25">
      <c r="A38" s="2">
        <v>4982378572899</v>
      </c>
      <c r="B38">
        <v>5635842</v>
      </c>
      <c r="C38" t="s">
        <v>38</v>
      </c>
      <c r="D38" s="1">
        <v>42488</v>
      </c>
      <c r="E38" s="1">
        <v>42489</v>
      </c>
      <c r="F38" s="3">
        <v>31</v>
      </c>
      <c r="G38" t="s">
        <v>14</v>
      </c>
      <c r="H38" s="4" t="str">
        <f>PROPER(Table_KaggleV2_May_2016[[#This Row],[Neighbourhood2]])</f>
        <v>São Cristóvão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</v>
      </c>
    </row>
    <row r="39" spans="1:15" x14ac:dyDescent="0.25">
      <c r="A39" s="2">
        <v>137943696338</v>
      </c>
      <c r="B39">
        <v>5615608</v>
      </c>
      <c r="C39" t="s">
        <v>39</v>
      </c>
      <c r="D39" s="1">
        <v>42485</v>
      </c>
      <c r="E39" s="1">
        <v>42489</v>
      </c>
      <c r="F39" s="3">
        <v>58</v>
      </c>
      <c r="G39" t="s">
        <v>14</v>
      </c>
      <c r="H39" s="4" t="str">
        <f>PROPER(Table_KaggleV2_May_2016[[#This Row],[Neighbourhood2]])</f>
        <v>São Cristóvão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 t="s">
        <v>1</v>
      </c>
    </row>
    <row r="40" spans="1:15" x14ac:dyDescent="0.25">
      <c r="A40" s="2">
        <v>92235587471561</v>
      </c>
      <c r="B40">
        <v>5534656</v>
      </c>
      <c r="C40" t="s">
        <v>38</v>
      </c>
      <c r="D40" s="1">
        <v>42460</v>
      </c>
      <c r="E40" s="1">
        <v>42489</v>
      </c>
      <c r="F40" s="3">
        <v>27</v>
      </c>
      <c r="G40" t="s">
        <v>16</v>
      </c>
      <c r="H40" s="4" t="str">
        <f>PROPER(Table_KaggleV2_May_2016[[#This Row],[Neighbourhood2]])</f>
        <v>Grande Vitória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 t="s">
        <v>5</v>
      </c>
    </row>
    <row r="41" spans="1:15" x14ac:dyDescent="0.25">
      <c r="A41" s="2">
        <v>443858731994526</v>
      </c>
      <c r="B41">
        <v>5637909</v>
      </c>
      <c r="C41" t="s">
        <v>39</v>
      </c>
      <c r="D41" s="1">
        <v>42489</v>
      </c>
      <c r="E41" s="1">
        <v>42489</v>
      </c>
      <c r="F41" s="3">
        <v>6</v>
      </c>
      <c r="G41" t="s">
        <v>7</v>
      </c>
      <c r="H41" s="4" t="str">
        <f>PROPER(Table_KaggleV2_May_2016[[#This Row],[Neighbourhood2]])</f>
        <v>Conquista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</v>
      </c>
    </row>
    <row r="42" spans="1:15" x14ac:dyDescent="0.25">
      <c r="A42" s="2">
        <v>41799315536436</v>
      </c>
      <c r="B42">
        <v>5638018</v>
      </c>
      <c r="C42" t="s">
        <v>39</v>
      </c>
      <c r="D42" s="1">
        <v>42489</v>
      </c>
      <c r="E42" s="1">
        <v>42489</v>
      </c>
      <c r="F42" s="3">
        <v>2</v>
      </c>
      <c r="G42" t="s">
        <v>8</v>
      </c>
      <c r="H42" s="4" t="str">
        <f>PROPER(Table_KaggleV2_May_2016[[#This Row],[Neighbourhood2]])</f>
        <v>Nova Palestina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</v>
      </c>
    </row>
    <row r="43" spans="1:15" x14ac:dyDescent="0.25">
      <c r="A43" s="2">
        <v>3996739777887</v>
      </c>
      <c r="B43">
        <v>5638466</v>
      </c>
      <c r="C43" t="s">
        <v>39</v>
      </c>
      <c r="D43" s="1">
        <v>42489</v>
      </c>
      <c r="E43" s="1">
        <v>42489</v>
      </c>
      <c r="F43" s="3">
        <v>11</v>
      </c>
      <c r="G43" t="s">
        <v>7</v>
      </c>
      <c r="H43" s="4" t="str">
        <f>PROPER(Table_KaggleV2_May_2016[[#This Row],[Neighbourhood2]])</f>
        <v>Conquista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</v>
      </c>
    </row>
    <row r="44" spans="1:15" x14ac:dyDescent="0.25">
      <c r="A44" s="2">
        <v>44879439571</v>
      </c>
      <c r="B44">
        <v>5638235</v>
      </c>
      <c r="C44" t="s">
        <v>39</v>
      </c>
      <c r="D44" s="1">
        <v>42489</v>
      </c>
      <c r="E44" s="1">
        <v>42489</v>
      </c>
      <c r="F44" s="3">
        <v>7</v>
      </c>
      <c r="G44" t="s">
        <v>12</v>
      </c>
      <c r="H44" s="4" t="str">
        <f>PROPER(Table_KaggleV2_May_2016[[#This Row],[Neighbourhood2]])</f>
        <v>São Pedro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</v>
      </c>
    </row>
    <row r="45" spans="1:15" x14ac:dyDescent="0.25">
      <c r="D45" s="1"/>
      <c r="E45" s="1"/>
      <c r="G45" t="s">
        <v>7</v>
      </c>
    </row>
    <row r="46" spans="1:15" x14ac:dyDescent="0.25">
      <c r="A46" s="2">
        <v>36477615234971</v>
      </c>
      <c r="B46">
        <v>5614045</v>
      </c>
      <c r="C46" t="s">
        <v>38</v>
      </c>
      <c r="D46" s="1">
        <v>42485</v>
      </c>
      <c r="E46" s="1">
        <v>42489</v>
      </c>
      <c r="F46" s="3">
        <v>3</v>
      </c>
      <c r="G46" t="s">
        <v>7</v>
      </c>
      <c r="H46" s="4" t="str">
        <f>PROPER(Table_KaggleV2_May_2016[[#This Row],[Neighbourhood2]])</f>
        <v>Conquista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 t="s">
        <v>1</v>
      </c>
    </row>
    <row r="47" spans="1:15" x14ac:dyDescent="0.25">
      <c r="A47" s="2">
        <v>978489332494159</v>
      </c>
      <c r="B47">
        <v>5638604</v>
      </c>
      <c r="C47" t="s">
        <v>39</v>
      </c>
      <c r="D47" s="1">
        <v>42489</v>
      </c>
      <c r="E47" s="1">
        <v>42489</v>
      </c>
      <c r="F47" s="3">
        <v>1</v>
      </c>
      <c r="G47" t="s">
        <v>7</v>
      </c>
      <c r="H47" s="4" t="str">
        <f>PROPER(Table_KaggleV2_May_2016[[#This Row],[Neighbourhood2]])</f>
        <v>Conquista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</v>
      </c>
    </row>
    <row r="48" spans="1:15" x14ac:dyDescent="0.25">
      <c r="A48" s="2">
        <v>5434175738686</v>
      </c>
      <c r="B48">
        <v>5552915</v>
      </c>
      <c r="C48" t="s">
        <v>38</v>
      </c>
      <c r="D48" s="1">
        <v>42466</v>
      </c>
      <c r="E48" s="1">
        <v>42489</v>
      </c>
      <c r="F48" s="3">
        <v>69</v>
      </c>
      <c r="G48" t="s">
        <v>0</v>
      </c>
      <c r="H48" s="4" t="str">
        <f>PROPER(Table_KaggleV2_May_2016[[#This Row],[Neighbourhood2]])</f>
        <v>Jardim Da Penha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 t="s">
        <v>1</v>
      </c>
    </row>
    <row r="49" spans="1:15" x14ac:dyDescent="0.25">
      <c r="A49" s="2">
        <v>45421316129453</v>
      </c>
      <c r="B49">
        <v>5552934</v>
      </c>
      <c r="C49" t="s">
        <v>38</v>
      </c>
      <c r="D49" s="1">
        <v>42466</v>
      </c>
      <c r="E49" s="1">
        <v>42489</v>
      </c>
      <c r="F49" s="3">
        <v>68</v>
      </c>
      <c r="G49" t="s">
        <v>3</v>
      </c>
      <c r="H49" s="4" t="str">
        <f>PROPER(Table_KaggleV2_May_2016[[#This Row],[Neighbourhood2]])</f>
        <v>República</v>
      </c>
      <c r="I49">
        <v>0</v>
      </c>
      <c r="J49">
        <v>1</v>
      </c>
      <c r="K49">
        <v>1</v>
      </c>
      <c r="L49">
        <v>0</v>
      </c>
      <c r="M49">
        <v>0</v>
      </c>
      <c r="N49">
        <v>1</v>
      </c>
      <c r="O49" t="s">
        <v>1</v>
      </c>
    </row>
    <row r="50" spans="1:15" x14ac:dyDescent="0.25">
      <c r="A50" s="2">
        <v>148894173528</v>
      </c>
      <c r="B50">
        <v>5597632</v>
      </c>
      <c r="C50" t="s">
        <v>38</v>
      </c>
      <c r="D50" s="1">
        <v>42478</v>
      </c>
      <c r="E50" s="1">
        <v>42489</v>
      </c>
      <c r="F50" s="3">
        <v>60</v>
      </c>
      <c r="G50" t="s">
        <v>22</v>
      </c>
      <c r="H50" s="4" t="str">
        <f>PROPER(Table_KaggleV2_May_2016[[#This Row],[Neighbourhood2]])</f>
        <v>Jabour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</v>
      </c>
    </row>
    <row r="51" spans="1:15" x14ac:dyDescent="0.25">
      <c r="A51" s="2">
        <v>99128824246583</v>
      </c>
      <c r="B51">
        <v>5597673</v>
      </c>
      <c r="C51" t="s">
        <v>39</v>
      </c>
      <c r="D51" s="1">
        <v>42478</v>
      </c>
      <c r="E51" s="1">
        <v>42489</v>
      </c>
      <c r="F51" s="3">
        <v>67</v>
      </c>
      <c r="G51" t="s">
        <v>21</v>
      </c>
      <c r="H51" s="4" t="str">
        <f>PROPER(Table_KaggleV2_May_2016[[#This Row],[Neighbourhood2]])</f>
        <v>Maria Ortiz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 t="s">
        <v>5</v>
      </c>
    </row>
    <row r="52" spans="1:15" x14ac:dyDescent="0.25">
      <c r="A52" s="2">
        <v>227497896765</v>
      </c>
      <c r="B52">
        <v>5637742</v>
      </c>
      <c r="C52" t="s">
        <v>39</v>
      </c>
      <c r="D52" s="1">
        <v>42489</v>
      </c>
      <c r="E52" s="1">
        <v>42489</v>
      </c>
      <c r="F52" s="3">
        <v>36</v>
      </c>
      <c r="G52" t="s">
        <v>23</v>
      </c>
      <c r="H52" s="4" t="str">
        <f>PROPER(Table_KaggleV2_May_2016[[#This Row],[Neighbourhood2]])</f>
        <v>Resistência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</v>
      </c>
    </row>
    <row r="53" spans="1:15" x14ac:dyDescent="0.25">
      <c r="A53" s="2">
        <v>3376224477447</v>
      </c>
      <c r="B53">
        <v>5595347</v>
      </c>
      <c r="C53" t="s">
        <v>39</v>
      </c>
      <c r="D53" s="1">
        <v>42478</v>
      </c>
      <c r="E53" s="1">
        <v>42489</v>
      </c>
      <c r="F53" s="3">
        <v>10</v>
      </c>
      <c r="G53" t="s">
        <v>24</v>
      </c>
      <c r="H53" s="4" t="str">
        <f>PROPER(Table_KaggleV2_May_2016[[#This Row],[Neighbourhood2]])</f>
        <v>Ilha De Santa Maria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 t="s">
        <v>1</v>
      </c>
    </row>
    <row r="54" spans="1:15" x14ac:dyDescent="0.25">
      <c r="A54" s="2">
        <v>5253342488842</v>
      </c>
      <c r="B54">
        <v>5565493</v>
      </c>
      <c r="C54" t="s">
        <v>38</v>
      </c>
      <c r="D54" s="1">
        <v>42471</v>
      </c>
      <c r="E54" s="1">
        <v>42489</v>
      </c>
      <c r="F54" s="3">
        <v>35</v>
      </c>
      <c r="G54" t="s">
        <v>19</v>
      </c>
      <c r="H54" s="4" t="str">
        <f>PROPER(Table_KaggleV2_May_2016[[#This Row],[Neighbourhood2]])</f>
        <v>Bonfim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 t="s">
        <v>1</v>
      </c>
    </row>
    <row r="55" spans="1:15" x14ac:dyDescent="0.25">
      <c r="A55" s="2">
        <v>166338799398515</v>
      </c>
      <c r="B55">
        <v>5574764</v>
      </c>
      <c r="C55" t="s">
        <v>38</v>
      </c>
      <c r="D55" s="1">
        <v>42472</v>
      </c>
      <c r="E55" s="1">
        <v>42489</v>
      </c>
      <c r="F55" s="3">
        <v>20</v>
      </c>
      <c r="G55" t="s">
        <v>19</v>
      </c>
      <c r="H55" s="4" t="str">
        <f>PROPER(Table_KaggleV2_May_2016[[#This Row],[Neighbourhood2]])</f>
        <v>Bonfim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 t="s">
        <v>1</v>
      </c>
    </row>
    <row r="56" spans="1:15" x14ac:dyDescent="0.25">
      <c r="A56" s="2">
        <v>7954396399895</v>
      </c>
      <c r="B56">
        <v>5608249</v>
      </c>
      <c r="C56" t="s">
        <v>38</v>
      </c>
      <c r="D56" s="1">
        <v>42480</v>
      </c>
      <c r="E56" s="1">
        <v>42489</v>
      </c>
      <c r="F56" s="3">
        <v>26</v>
      </c>
      <c r="G56" t="s">
        <v>26</v>
      </c>
      <c r="H56" s="4" t="str">
        <f>PROPER(Table_KaggleV2_May_2016[[#This Row],[Neighbourhood2]])</f>
        <v>Santo Antônio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 t="s">
        <v>5</v>
      </c>
    </row>
    <row r="57" spans="1:15" x14ac:dyDescent="0.25">
      <c r="A57" s="2">
        <v>129598834358981</v>
      </c>
      <c r="B57">
        <v>5572081</v>
      </c>
      <c r="C57" t="s">
        <v>38</v>
      </c>
      <c r="D57" s="1">
        <v>42472</v>
      </c>
      <c r="E57" s="1">
        <v>42489</v>
      </c>
      <c r="F57" s="3">
        <v>34</v>
      </c>
      <c r="G57" t="s">
        <v>26</v>
      </c>
      <c r="H57" s="4" t="str">
        <f>PROPER(Table_KaggleV2_May_2016[[#This Row],[Neighbourhood2]])</f>
        <v>Santo Antônio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 t="s">
        <v>1</v>
      </c>
    </row>
    <row r="58" spans="1:15" x14ac:dyDescent="0.25">
      <c r="A58" s="2">
        <v>329315252114</v>
      </c>
      <c r="B58">
        <v>5546448</v>
      </c>
      <c r="C58" t="s">
        <v>38</v>
      </c>
      <c r="D58" s="1">
        <v>42465</v>
      </c>
      <c r="E58" s="1">
        <v>42489</v>
      </c>
      <c r="F58" s="3">
        <v>33</v>
      </c>
      <c r="G58" t="s">
        <v>25</v>
      </c>
      <c r="H58" s="4" t="str">
        <f>PROPER(Table_KaggleV2_May_2016[[#This Row],[Neighbourhood2]])</f>
        <v>Mário Cypreste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 t="s">
        <v>1</v>
      </c>
    </row>
    <row r="59" spans="1:15" x14ac:dyDescent="0.25">
      <c r="A59" s="2">
        <v>6297228525237</v>
      </c>
      <c r="B59">
        <v>5590755</v>
      </c>
      <c r="C59" t="s">
        <v>38</v>
      </c>
      <c r="D59" s="1">
        <v>42475</v>
      </c>
      <c r="E59" s="1">
        <v>42489</v>
      </c>
      <c r="F59" s="3">
        <v>16</v>
      </c>
      <c r="G59" t="s">
        <v>25</v>
      </c>
      <c r="H59" s="4" t="str">
        <f>PROPER(Table_KaggleV2_May_2016[[#This Row],[Neighbourhood2]])</f>
        <v>Mário Cypreste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 t="s">
        <v>1</v>
      </c>
    </row>
    <row r="60" spans="1:15" x14ac:dyDescent="0.25">
      <c r="A60" s="2">
        <v>4224165869815</v>
      </c>
      <c r="B60">
        <v>5561194</v>
      </c>
      <c r="C60" t="s">
        <v>39</v>
      </c>
      <c r="D60" s="1">
        <v>42468</v>
      </c>
      <c r="E60" s="1">
        <v>42489</v>
      </c>
      <c r="F60" s="3">
        <v>42</v>
      </c>
      <c r="G60" t="s">
        <v>28</v>
      </c>
      <c r="H60" s="4" t="str">
        <f>PROPER(Table_KaggleV2_May_2016[[#This Row],[Neighbourhood2]])</f>
        <v>Praia Do Suá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  <c r="O60" t="s">
        <v>1</v>
      </c>
    </row>
    <row r="61" spans="1:15" x14ac:dyDescent="0.25">
      <c r="A61" s="2">
        <v>152399288918984</v>
      </c>
      <c r="B61">
        <v>5639855</v>
      </c>
      <c r="C61" t="s">
        <v>38</v>
      </c>
      <c r="D61" s="1">
        <v>42489</v>
      </c>
      <c r="E61" s="1">
        <v>42489</v>
      </c>
      <c r="F61" s="3">
        <v>5</v>
      </c>
      <c r="G61" t="s">
        <v>29</v>
      </c>
      <c r="H61" s="4" t="str">
        <f>PROPER(Table_KaggleV2_May_2016[[#This Row],[Neighbourhood2]])</f>
        <v>Santa Helena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</v>
      </c>
    </row>
    <row r="62" spans="1:15" x14ac:dyDescent="0.25">
      <c r="A62" s="2">
        <v>2159575338824</v>
      </c>
      <c r="B62">
        <v>5596598</v>
      </c>
      <c r="C62" t="s">
        <v>39</v>
      </c>
      <c r="D62" s="1">
        <v>42478</v>
      </c>
      <c r="E62" s="1">
        <v>42489</v>
      </c>
      <c r="F62" s="3">
        <v>47</v>
      </c>
      <c r="G62" t="s">
        <v>28</v>
      </c>
      <c r="H62" s="4" t="str">
        <f>PROPER(Table_KaggleV2_May_2016[[#This Row],[Neighbourhood2]])</f>
        <v>Praia Do Suá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 t="s">
        <v>1</v>
      </c>
    </row>
    <row r="63" spans="1:15" x14ac:dyDescent="0.25">
      <c r="A63" s="2">
        <v>23234298946324</v>
      </c>
      <c r="B63">
        <v>5579972</v>
      </c>
      <c r="C63" t="s">
        <v>38</v>
      </c>
      <c r="D63" s="1">
        <v>42473</v>
      </c>
      <c r="E63" s="1">
        <v>42489</v>
      </c>
      <c r="F63" s="3">
        <v>17</v>
      </c>
      <c r="G63" t="s">
        <v>19</v>
      </c>
      <c r="H63" s="4" t="str">
        <f>PROPER(Table_KaggleV2_May_2016[[#This Row],[Neighbourhood2]])</f>
        <v>Bonfim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 t="s">
        <v>5</v>
      </c>
    </row>
    <row r="64" spans="1:15" x14ac:dyDescent="0.25">
      <c r="A64" s="2">
        <v>28635375195758</v>
      </c>
      <c r="B64">
        <v>5634224</v>
      </c>
      <c r="C64" t="s">
        <v>38</v>
      </c>
      <c r="D64" s="1">
        <v>42488</v>
      </c>
      <c r="E64" s="1">
        <v>42489</v>
      </c>
      <c r="F64" s="3">
        <v>41</v>
      </c>
      <c r="G64" t="s">
        <v>30</v>
      </c>
      <c r="H64" s="4" t="str">
        <f>PROPER(Table_KaggleV2_May_2016[[#This Row],[Neighbourhood2]])</f>
        <v>Itararé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5</v>
      </c>
    </row>
    <row r="65" spans="1:15" x14ac:dyDescent="0.25">
      <c r="A65" s="2">
        <v>378518786353867</v>
      </c>
      <c r="B65">
        <v>5551523</v>
      </c>
      <c r="C65" t="s">
        <v>38</v>
      </c>
      <c r="D65" s="1">
        <v>42466</v>
      </c>
      <c r="E65" s="1">
        <v>42489</v>
      </c>
      <c r="F65" s="3">
        <v>44</v>
      </c>
      <c r="G65" t="s">
        <v>19</v>
      </c>
      <c r="H65" s="4" t="str">
        <f>PROPER(Table_KaggleV2_May_2016[[#This Row],[Neighbourhood2]])</f>
        <v>Bonfim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 t="s">
        <v>1</v>
      </c>
    </row>
    <row r="66" spans="1:15" x14ac:dyDescent="0.25">
      <c r="A66" s="2">
        <v>32516971144596</v>
      </c>
      <c r="B66">
        <v>5537901</v>
      </c>
      <c r="C66" t="s">
        <v>38</v>
      </c>
      <c r="D66" s="1">
        <v>42461</v>
      </c>
      <c r="E66" s="1">
        <v>42489</v>
      </c>
      <c r="F66" s="3">
        <v>37</v>
      </c>
      <c r="G66" t="s">
        <v>19</v>
      </c>
      <c r="H66" s="4" t="str">
        <f>PROPER(Table_KaggleV2_May_2016[[#This Row],[Neighbourhood2]])</f>
        <v>Bonfim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1</v>
      </c>
    </row>
    <row r="67" spans="1:15" x14ac:dyDescent="0.25">
      <c r="A67" s="2">
        <v>1244226589113</v>
      </c>
      <c r="B67">
        <v>5601951</v>
      </c>
      <c r="C67" t="s">
        <v>38</v>
      </c>
      <c r="D67" s="1">
        <v>42479</v>
      </c>
      <c r="E67" s="1">
        <v>42489</v>
      </c>
      <c r="F67" s="3">
        <v>24</v>
      </c>
      <c r="G67" t="s">
        <v>19</v>
      </c>
      <c r="H67" s="4" t="str">
        <f>PROPER(Table_KaggleV2_May_2016[[#This Row],[Neighbourhood2]])</f>
        <v>Bonfim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1</v>
      </c>
    </row>
    <row r="68" spans="1:15" x14ac:dyDescent="0.25">
      <c r="A68" s="2">
        <v>73296611628432</v>
      </c>
      <c r="B68">
        <v>5587737</v>
      </c>
      <c r="C68" t="s">
        <v>39</v>
      </c>
      <c r="D68" s="1">
        <v>42475</v>
      </c>
      <c r="E68" s="1">
        <v>42489</v>
      </c>
      <c r="F68" s="3">
        <v>66</v>
      </c>
      <c r="G68" t="s">
        <v>31</v>
      </c>
      <c r="H68" s="4" t="str">
        <f>PROPER(Table_KaggleV2_May_2016[[#This Row],[Neighbourhood2]])</f>
        <v>Redenção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 t="s">
        <v>1</v>
      </c>
    </row>
    <row r="69" spans="1:15" x14ac:dyDescent="0.25">
      <c r="A69" s="2">
        <v>665252547682748</v>
      </c>
      <c r="B69">
        <v>5640552</v>
      </c>
      <c r="C69" t="s">
        <v>38</v>
      </c>
      <c r="D69" s="1">
        <v>42489</v>
      </c>
      <c r="E69" s="1">
        <v>42489</v>
      </c>
      <c r="F69" s="3">
        <v>77</v>
      </c>
      <c r="G69" t="s">
        <v>7</v>
      </c>
      <c r="H69" s="4" t="str">
        <f>PROPER(Table_KaggleV2_May_2016[[#This Row],[Neighbourhood2]])</f>
        <v>Conquista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 t="s">
        <v>1</v>
      </c>
    </row>
    <row r="70" spans="1:15" x14ac:dyDescent="0.25">
      <c r="A70" s="2">
        <v>9458117812</v>
      </c>
      <c r="B70">
        <v>5640554</v>
      </c>
      <c r="C70" t="s">
        <v>39</v>
      </c>
      <c r="D70" s="1">
        <v>42489</v>
      </c>
      <c r="E70" s="1">
        <v>42489</v>
      </c>
      <c r="F70" s="3">
        <v>81</v>
      </c>
      <c r="G70" t="s">
        <v>7</v>
      </c>
      <c r="H70" s="4" t="str">
        <f>PROPER(Table_KaggleV2_May_2016[[#This Row],[Neighbourhood2]])</f>
        <v>Conquista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 t="s">
        <v>1</v>
      </c>
    </row>
    <row r="71" spans="1:15" x14ac:dyDescent="0.25">
      <c r="A71" s="2">
        <v>733852941987295</v>
      </c>
      <c r="B71">
        <v>5639942</v>
      </c>
      <c r="C71" t="s">
        <v>39</v>
      </c>
      <c r="D71" s="1">
        <v>42489</v>
      </c>
      <c r="E71" s="1">
        <v>42489</v>
      </c>
      <c r="F71" s="3">
        <v>70</v>
      </c>
      <c r="G71" t="s">
        <v>32</v>
      </c>
      <c r="H71" s="4" t="str">
        <f>PROPER(Table_KaggleV2_May_2016[[#This Row],[Neighbourhood2]])</f>
        <v>Centro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 t="s">
        <v>1</v>
      </c>
    </row>
    <row r="72" spans="1:15" x14ac:dyDescent="0.25">
      <c r="A72" s="2">
        <v>29538974971432</v>
      </c>
      <c r="B72">
        <v>5640235</v>
      </c>
      <c r="C72" t="s">
        <v>39</v>
      </c>
      <c r="D72" s="1">
        <v>42489</v>
      </c>
      <c r="E72" s="1">
        <v>42489</v>
      </c>
      <c r="F72" s="3">
        <v>53</v>
      </c>
      <c r="G72" t="s">
        <v>34</v>
      </c>
      <c r="H72" s="4" t="str">
        <f>PROPER(Table_KaggleV2_May_2016[[#This Row],[Neighbourhood2]])</f>
        <v>Santos Dumont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 t="s">
        <v>1</v>
      </c>
    </row>
    <row r="73" spans="1:15" x14ac:dyDescent="0.25">
      <c r="A73" s="2">
        <v>38621431151264</v>
      </c>
      <c r="B73">
        <v>5555546</v>
      </c>
      <c r="C73" t="s">
        <v>38</v>
      </c>
      <c r="D73" s="1">
        <v>42467</v>
      </c>
      <c r="E73" s="1">
        <v>42489</v>
      </c>
      <c r="F73" s="3">
        <v>75</v>
      </c>
      <c r="G73" t="s">
        <v>6</v>
      </c>
      <c r="H73" s="4" t="str">
        <f>PROPER(Table_KaggleV2_May_2016[[#This Row],[Neighbourhood2]])</f>
        <v>Andorinhas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 t="s">
        <v>1</v>
      </c>
    </row>
    <row r="74" spans="1:15" x14ac:dyDescent="0.25">
      <c r="A74" s="2">
        <v>85662694984232</v>
      </c>
      <c r="B74">
        <v>5638768</v>
      </c>
      <c r="C74" t="s">
        <v>38</v>
      </c>
      <c r="D74" s="1">
        <v>42489</v>
      </c>
      <c r="E74" s="1">
        <v>42489</v>
      </c>
      <c r="F74" s="3">
        <v>73</v>
      </c>
      <c r="G74" t="s">
        <v>6</v>
      </c>
      <c r="H74" s="4" t="str">
        <f>PROPER(Table_KaggleV2_May_2016[[#This Row],[Neighbourhood2]])</f>
        <v>Andorinhas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 t="s">
        <v>1</v>
      </c>
    </row>
    <row r="75" spans="1:15" x14ac:dyDescent="0.25">
      <c r="A75" s="2">
        <v>737464131972</v>
      </c>
      <c r="B75">
        <v>5558421</v>
      </c>
      <c r="C75" t="s">
        <v>38</v>
      </c>
      <c r="D75" s="1">
        <v>42467</v>
      </c>
      <c r="E75" s="1">
        <v>42489</v>
      </c>
      <c r="F75" s="3">
        <v>52</v>
      </c>
      <c r="G75" t="s">
        <v>6</v>
      </c>
      <c r="H75" s="4" t="str">
        <f>PROPER(Table_KaggleV2_May_2016[[#This Row],[Neighbourhood2]])</f>
        <v>Andorinhas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 t="s">
        <v>1</v>
      </c>
    </row>
    <row r="76" spans="1:15" x14ac:dyDescent="0.25">
      <c r="A76" s="2">
        <v>64733677263678</v>
      </c>
      <c r="B76">
        <v>5555334</v>
      </c>
      <c r="C76" t="s">
        <v>38</v>
      </c>
      <c r="D76" s="1">
        <v>42467</v>
      </c>
      <c r="E76" s="1">
        <v>42489</v>
      </c>
      <c r="F76" s="3">
        <v>74</v>
      </c>
      <c r="G76" t="s">
        <v>6</v>
      </c>
      <c r="H76" s="4" t="str">
        <f>PROPER(Table_KaggleV2_May_2016[[#This Row],[Neighbourhood2]])</f>
        <v>Andorinhas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 t="s">
        <v>1</v>
      </c>
    </row>
    <row r="77" spans="1:15" x14ac:dyDescent="0.25">
      <c r="A77" s="2">
        <v>29289369571227</v>
      </c>
      <c r="B77">
        <v>5639534</v>
      </c>
      <c r="C77" t="s">
        <v>38</v>
      </c>
      <c r="D77" s="1">
        <v>42489</v>
      </c>
      <c r="E77" s="1">
        <v>42489</v>
      </c>
      <c r="F77" s="3">
        <v>43</v>
      </c>
      <c r="G77" t="s">
        <v>19</v>
      </c>
      <c r="H77" s="4" t="str">
        <f>PROPER(Table_KaggleV2_May_2016[[#This Row],[Neighbourhood2]])</f>
        <v>Bonfim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</v>
      </c>
    </row>
    <row r="78" spans="1:15" x14ac:dyDescent="0.25">
      <c r="A78" s="2">
        <v>441431798896847</v>
      </c>
      <c r="B78">
        <v>5639223</v>
      </c>
      <c r="C78" t="s">
        <v>38</v>
      </c>
      <c r="D78" s="1">
        <v>42489</v>
      </c>
      <c r="E78" s="1">
        <v>42489</v>
      </c>
      <c r="F78" s="3">
        <v>89</v>
      </c>
      <c r="G78" t="s">
        <v>35</v>
      </c>
      <c r="H78" s="4" t="str">
        <f>PROPER(Table_KaggleV2_May_2016[[#This Row],[Neighbourhood2]])</f>
        <v>Caratoíra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 t="s">
        <v>1</v>
      </c>
    </row>
    <row r="79" spans="1:15" x14ac:dyDescent="0.25">
      <c r="A79" s="2">
        <v>22357227114</v>
      </c>
      <c r="B79">
        <v>5489434</v>
      </c>
      <c r="C79" t="s">
        <v>38</v>
      </c>
      <c r="D79" s="1">
        <v>42447</v>
      </c>
      <c r="E79" s="1">
        <v>42489</v>
      </c>
      <c r="F79" s="3">
        <v>57</v>
      </c>
      <c r="G79" t="s">
        <v>35</v>
      </c>
      <c r="H79" s="4" t="str">
        <f>PROPER(Table_KaggleV2_May_2016[[#This Row],[Neighbourhood2]])</f>
        <v>Caratoíra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5</v>
      </c>
    </row>
    <row r="80" spans="1:15" x14ac:dyDescent="0.25">
      <c r="A80" s="2">
        <v>62856551218898</v>
      </c>
      <c r="B80">
        <v>5624112</v>
      </c>
      <c r="C80" t="s">
        <v>38</v>
      </c>
      <c r="D80" s="1">
        <v>42486</v>
      </c>
      <c r="E80" s="1">
        <v>42489</v>
      </c>
      <c r="F80" s="3">
        <v>14</v>
      </c>
      <c r="G80" t="s">
        <v>26</v>
      </c>
      <c r="H80" s="4" t="str">
        <f>PROPER(Table_KaggleV2_May_2016[[#This Row],[Neighbourhood2]])</f>
        <v>Santo Antônio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 t="s">
        <v>1</v>
      </c>
    </row>
    <row r="81" spans="1:15" x14ac:dyDescent="0.25">
      <c r="A81" s="2">
        <v>8211527243556</v>
      </c>
      <c r="B81">
        <v>5624107</v>
      </c>
      <c r="C81" t="s">
        <v>39</v>
      </c>
      <c r="D81" s="1">
        <v>42486</v>
      </c>
      <c r="E81" s="1">
        <v>42489</v>
      </c>
      <c r="F81" s="3">
        <v>9</v>
      </c>
      <c r="G81" t="s">
        <v>35</v>
      </c>
      <c r="H81" s="4" t="str">
        <f>PROPER(Table_KaggleV2_May_2016[[#This Row],[Neighbourhood2]])</f>
        <v>Caratoíra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 t="s">
        <v>1</v>
      </c>
    </row>
    <row r="82" spans="1:15" x14ac:dyDescent="0.25">
      <c r="A82" s="2">
        <v>1192393465591</v>
      </c>
      <c r="B82">
        <v>5641191</v>
      </c>
      <c r="C82" t="s">
        <v>39</v>
      </c>
      <c r="D82" s="1">
        <v>42489</v>
      </c>
      <c r="E82" s="1">
        <v>42489</v>
      </c>
      <c r="F82" s="3">
        <v>48</v>
      </c>
      <c r="G82" t="s">
        <v>21</v>
      </c>
      <c r="H82" s="4" t="str">
        <f>PROPER(Table_KaggleV2_May_2016[[#This Row],[Neighbourhood2]])</f>
        <v>Maria Ortiz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</v>
      </c>
    </row>
    <row r="83" spans="1:15" x14ac:dyDescent="0.25">
      <c r="A83" s="2">
        <v>99845912134697</v>
      </c>
      <c r="B83">
        <v>5640119</v>
      </c>
      <c r="C83" t="s">
        <v>38</v>
      </c>
      <c r="D83" s="1">
        <v>42489</v>
      </c>
      <c r="E83" s="1">
        <v>42489</v>
      </c>
      <c r="F83" s="3">
        <v>83</v>
      </c>
      <c r="G83" t="s">
        <v>24</v>
      </c>
      <c r="H83" s="4" t="str">
        <f>PROPER(Table_KaggleV2_May_2016[[#This Row],[Neighbourhood2]])</f>
        <v>Ilha De Santa Maria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</v>
      </c>
    </row>
    <row r="84" spans="1:15" x14ac:dyDescent="0.25">
      <c r="A84" s="2">
        <v>3876634941861</v>
      </c>
      <c r="B84">
        <v>5526179</v>
      </c>
      <c r="C84" t="s">
        <v>39</v>
      </c>
      <c r="D84" s="1">
        <v>42459</v>
      </c>
      <c r="E84" s="1">
        <v>42489</v>
      </c>
      <c r="F84" s="3">
        <v>72</v>
      </c>
      <c r="G84" t="s">
        <v>36</v>
      </c>
      <c r="H84" s="4" t="str">
        <f>PROPER(Table_KaggleV2_May_2016[[#This Row],[Neighbourhood2]])</f>
        <v>Joana D´Arc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 t="s">
        <v>1</v>
      </c>
    </row>
    <row r="85" spans="1:15" x14ac:dyDescent="0.25">
      <c r="A85" s="2">
        <v>672862382449</v>
      </c>
      <c r="B85">
        <v>5638476</v>
      </c>
      <c r="C85" t="s">
        <v>39</v>
      </c>
      <c r="D85" s="1">
        <v>42489</v>
      </c>
      <c r="E85" s="1">
        <v>42489</v>
      </c>
      <c r="F85" s="3">
        <v>25</v>
      </c>
      <c r="G85" t="s">
        <v>14</v>
      </c>
      <c r="H85" s="4" t="str">
        <f>PROPER(Table_KaggleV2_May_2016[[#This Row],[Neighbourhood2]])</f>
        <v>São Cristóvão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</v>
      </c>
    </row>
    <row r="86" spans="1:15" x14ac:dyDescent="0.25">
      <c r="A86" s="2">
        <v>461336673238916</v>
      </c>
      <c r="B86">
        <v>5639398</v>
      </c>
      <c r="C86" t="s">
        <v>38</v>
      </c>
      <c r="D86" s="1">
        <v>42489</v>
      </c>
      <c r="E86" s="1">
        <v>42489</v>
      </c>
      <c r="F86" s="3">
        <v>80</v>
      </c>
      <c r="G86" t="s">
        <v>22</v>
      </c>
      <c r="H86" s="4" t="str">
        <f>PROPER(Table_KaggleV2_May_2016[[#This Row],[Neighbourhood2]])</f>
        <v>Jabour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</v>
      </c>
    </row>
    <row r="87" spans="1:15" x14ac:dyDescent="0.25">
      <c r="A87" s="2">
        <v>1883563214114</v>
      </c>
      <c r="B87">
        <v>5624578</v>
      </c>
      <c r="C87" t="s">
        <v>38</v>
      </c>
      <c r="D87" s="1">
        <v>42486</v>
      </c>
      <c r="E87" s="1">
        <v>42489</v>
      </c>
      <c r="F87" s="3">
        <v>87</v>
      </c>
      <c r="G87" t="s">
        <v>18</v>
      </c>
      <c r="H87" s="4" t="str">
        <f>PROPER(Table_KaggleV2_May_2016[[#This Row],[Neighbourhood2]])</f>
        <v>Solon Borges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</v>
      </c>
    </row>
    <row r="88" spans="1:15" x14ac:dyDescent="0.25">
      <c r="A88" s="2">
        <v>713217269976878</v>
      </c>
      <c r="B88">
        <v>5634077</v>
      </c>
      <c r="C88" t="s">
        <v>38</v>
      </c>
      <c r="D88" s="1">
        <v>42488</v>
      </c>
      <c r="E88" s="1">
        <v>42489</v>
      </c>
      <c r="F88" s="3">
        <v>88</v>
      </c>
      <c r="G88" t="s">
        <v>35</v>
      </c>
      <c r="H88" s="4" t="str">
        <f>PROPER(Table_KaggleV2_May_2016[[#This Row],[Neighbourhood2]])</f>
        <v>Caratoíra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 t="s">
        <v>1</v>
      </c>
    </row>
    <row r="89" spans="1:15" x14ac:dyDescent="0.25">
      <c r="A89" s="2">
        <v>51822221732242</v>
      </c>
      <c r="B89">
        <v>5641622</v>
      </c>
      <c r="C89" t="s">
        <v>39</v>
      </c>
      <c r="D89" s="1">
        <v>42489</v>
      </c>
      <c r="E89" s="1">
        <v>42489</v>
      </c>
      <c r="F89" s="3">
        <v>84</v>
      </c>
      <c r="G89" t="s">
        <v>0</v>
      </c>
      <c r="H89" s="4" t="str">
        <f>PROPER(Table_KaggleV2_May_2016[[#This Row],[Neighbourhood2]])</f>
        <v>Jardim Da Penha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 t="s">
        <v>1</v>
      </c>
    </row>
    <row r="90" spans="1:15" x14ac:dyDescent="0.25">
      <c r="A90" s="2">
        <v>2386996817174</v>
      </c>
      <c r="B90">
        <v>5641806</v>
      </c>
      <c r="C90" t="s">
        <v>38</v>
      </c>
      <c r="D90" s="1">
        <v>42489</v>
      </c>
      <c r="E90" s="1">
        <v>42489</v>
      </c>
      <c r="F90" s="3">
        <v>82</v>
      </c>
      <c r="G90" t="s">
        <v>34</v>
      </c>
      <c r="H90" s="4" t="str">
        <f>PROPER(Table_KaggleV2_May_2016[[#This Row],[Neighbourhood2]])</f>
        <v>Santos Dumont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 t="s">
        <v>1</v>
      </c>
    </row>
    <row r="91" spans="1:15" x14ac:dyDescent="0.25">
      <c r="A91" s="2">
        <v>5254431671839</v>
      </c>
      <c r="B91">
        <v>5641465</v>
      </c>
      <c r="C91" t="s">
        <v>39</v>
      </c>
      <c r="D91" s="1">
        <v>42489</v>
      </c>
      <c r="E91" s="1">
        <v>42489</v>
      </c>
      <c r="F91" s="3">
        <v>90</v>
      </c>
      <c r="G91" t="s">
        <v>20</v>
      </c>
      <c r="H91" s="4" t="str">
        <f>PROPER(Table_KaggleV2_May_2016[[#This Row],[Neighbourhood2]])</f>
        <v>Jardim Camburi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</v>
      </c>
    </row>
    <row r="92" spans="1:15" x14ac:dyDescent="0.25">
      <c r="A92" s="2">
        <v>72825819926211</v>
      </c>
      <c r="B92">
        <v>5582483</v>
      </c>
      <c r="C92" t="s">
        <v>39</v>
      </c>
      <c r="D92" s="1">
        <v>42474</v>
      </c>
      <c r="E92" s="1">
        <v>42489</v>
      </c>
      <c r="F92" s="3">
        <v>94</v>
      </c>
      <c r="G92" t="s">
        <v>27</v>
      </c>
      <c r="H92" s="4" t="str">
        <f>PROPER(Table_KaggleV2_May_2016[[#This Row],[Neighbourhood2]])</f>
        <v>Bela Vista</v>
      </c>
      <c r="I92">
        <v>0</v>
      </c>
      <c r="J92">
        <v>1</v>
      </c>
      <c r="K92">
        <v>1</v>
      </c>
      <c r="L92">
        <v>0</v>
      </c>
      <c r="M92">
        <v>2</v>
      </c>
      <c r="N92">
        <v>1</v>
      </c>
      <c r="O92" t="s">
        <v>1</v>
      </c>
    </row>
    <row r="93" spans="1:15" x14ac:dyDescent="0.25">
      <c r="A93" s="2">
        <v>32592814146131</v>
      </c>
      <c r="B93">
        <v>5602148</v>
      </c>
      <c r="C93" t="s">
        <v>38</v>
      </c>
      <c r="D93" s="1">
        <v>42479</v>
      </c>
      <c r="E93" s="1">
        <v>42489</v>
      </c>
      <c r="F93" s="3">
        <v>86</v>
      </c>
      <c r="G93" t="s">
        <v>17</v>
      </c>
      <c r="H93" s="4" t="str">
        <f>PROPER(Table_KaggleV2_May_2016[[#This Row],[Neighbourhood2]])</f>
        <v>Ilha Das Caieiras</v>
      </c>
      <c r="I93">
        <v>0</v>
      </c>
      <c r="J93">
        <v>1</v>
      </c>
      <c r="K93">
        <v>1</v>
      </c>
      <c r="L93">
        <v>0</v>
      </c>
      <c r="M93">
        <v>0</v>
      </c>
      <c r="N93">
        <v>1</v>
      </c>
      <c r="O93" t="s">
        <v>1</v>
      </c>
    </row>
    <row r="94" spans="1:15" x14ac:dyDescent="0.25">
      <c r="A94" s="2">
        <v>39292693656119</v>
      </c>
      <c r="B94">
        <v>5552327</v>
      </c>
      <c r="C94" t="s">
        <v>38</v>
      </c>
      <c r="D94" s="1">
        <v>42466</v>
      </c>
      <c r="E94" s="1">
        <v>42489</v>
      </c>
      <c r="F94" s="3">
        <v>91</v>
      </c>
      <c r="G94" t="s">
        <v>27</v>
      </c>
      <c r="H94" s="4" t="str">
        <f>PROPER(Table_KaggleV2_May_2016[[#This Row],[Neighbourhood2]])</f>
        <v>Bela Vista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 t="s">
        <v>1</v>
      </c>
    </row>
    <row r="95" spans="1:15" x14ac:dyDescent="0.25">
      <c r="A95" s="2">
        <v>129469361891129</v>
      </c>
      <c r="B95">
        <v>5588126</v>
      </c>
      <c r="C95" t="s">
        <v>38</v>
      </c>
      <c r="D95" s="1">
        <v>42475</v>
      </c>
      <c r="E95" s="1">
        <v>42489</v>
      </c>
      <c r="F95" s="3">
        <v>98</v>
      </c>
      <c r="G95" t="s">
        <v>19</v>
      </c>
      <c r="H95" s="4" t="str">
        <f>PROPER(Table_KaggleV2_May_2016[[#This Row],[Neighbourhood2]])</f>
        <v>Bonfim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 t="s">
        <v>5</v>
      </c>
    </row>
    <row r="96" spans="1:15" x14ac:dyDescent="0.25">
      <c r="A96" s="2">
        <v>95233298227946</v>
      </c>
      <c r="B96">
        <v>5629133</v>
      </c>
      <c r="C96" t="s">
        <v>39</v>
      </c>
      <c r="D96" s="1">
        <v>42487</v>
      </c>
      <c r="E96" s="1">
        <v>42489</v>
      </c>
      <c r="F96" s="3">
        <v>92</v>
      </c>
      <c r="G96" t="s">
        <v>34</v>
      </c>
      <c r="H96" s="4" t="str">
        <f>PROPER(Table_KaggleV2_May_2016[[#This Row],[Neighbourhood2]])</f>
        <v>Santos Dumont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 t="s">
        <v>5</v>
      </c>
    </row>
    <row r="97" spans="1:15" x14ac:dyDescent="0.25">
      <c r="A97" s="2">
        <v>351854586372</v>
      </c>
      <c r="B97">
        <v>5675430</v>
      </c>
      <c r="C97" t="s">
        <v>39</v>
      </c>
      <c r="D97" s="1">
        <v>42499</v>
      </c>
      <c r="E97" s="1">
        <v>42501</v>
      </c>
      <c r="F97" s="3">
        <v>96</v>
      </c>
      <c r="G97" t="s">
        <v>0</v>
      </c>
      <c r="H97" s="4" t="str">
        <f>PROPER(Table_KaggleV2_May_2016[[#This Row],[Neighbourhood2]])</f>
        <v>Jardim Da Penha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</v>
      </c>
    </row>
    <row r="98" spans="1:15" x14ac:dyDescent="0.25">
      <c r="A98" s="2">
        <v>9175742157462</v>
      </c>
      <c r="B98">
        <v>5690378</v>
      </c>
      <c r="C98" t="s">
        <v>38</v>
      </c>
      <c r="D98" s="1">
        <v>42502</v>
      </c>
      <c r="E98" s="1">
        <v>42508</v>
      </c>
      <c r="F98" s="3">
        <v>93</v>
      </c>
      <c r="G98" t="s">
        <v>35</v>
      </c>
      <c r="H98" s="4" t="str">
        <f>PROPER(Table_KaggleV2_May_2016[[#This Row],[Neighbourhood2]])</f>
        <v>Caratoíra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 t="s">
        <v>1</v>
      </c>
    </row>
    <row r="99" spans="1:15" x14ac:dyDescent="0.25">
      <c r="A99" s="2">
        <v>636468962884629</v>
      </c>
      <c r="B99">
        <v>5753300</v>
      </c>
      <c r="C99" t="s">
        <v>39</v>
      </c>
      <c r="D99" s="1">
        <v>42521</v>
      </c>
      <c r="E99" s="1">
        <v>42521</v>
      </c>
      <c r="F99" s="3">
        <v>95</v>
      </c>
      <c r="G99" t="s">
        <v>21</v>
      </c>
      <c r="H99" s="4" t="str">
        <f>PROPER(Table_KaggleV2_May_2016[[#This Row],[Neighbourhood2]])</f>
        <v>Maria Ortiz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</v>
      </c>
    </row>
    <row r="100" spans="1:15" x14ac:dyDescent="0.25">
      <c r="A100" s="2">
        <v>565924412163484</v>
      </c>
      <c r="B100">
        <v>5704081</v>
      </c>
      <c r="C100" t="s">
        <v>38</v>
      </c>
      <c r="D100" s="1">
        <v>42506</v>
      </c>
      <c r="E100" s="1">
        <v>42506</v>
      </c>
      <c r="F100" s="3">
        <v>97</v>
      </c>
      <c r="G100" t="s">
        <v>33</v>
      </c>
      <c r="H100" s="4" t="str">
        <f>PROPER(Table_KaggleV2_May_2016[[#This Row],[Neighbourhood2]])</f>
        <v>Parque Moscoso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 t="s">
        <v>1</v>
      </c>
    </row>
    <row r="101" spans="1:15" x14ac:dyDescent="0.25">
      <c r="A101" s="2">
        <v>976294799775439</v>
      </c>
      <c r="B101">
        <v>5651757</v>
      </c>
      <c r="C101" t="s">
        <v>38</v>
      </c>
      <c r="D101" s="1">
        <v>42493</v>
      </c>
      <c r="E101" s="1">
        <v>42493</v>
      </c>
      <c r="F101" s="3">
        <v>102</v>
      </c>
      <c r="G101" t="s">
        <v>7</v>
      </c>
      <c r="H101" s="4" t="str">
        <f>PROPER(Table_KaggleV2_May_2016[[#This Row],[Neighbourhood2]])</f>
        <v>Conquista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</v>
      </c>
    </row>
    <row r="102" spans="1:15" x14ac:dyDescent="0.25">
      <c r="A102" s="2">
        <v>31963211613981</v>
      </c>
      <c r="B102">
        <v>5700278</v>
      </c>
      <c r="C102" t="s">
        <v>38</v>
      </c>
      <c r="D102" s="1">
        <v>42506</v>
      </c>
      <c r="E102" s="1">
        <v>42509</v>
      </c>
      <c r="F102" s="3">
        <v>115</v>
      </c>
      <c r="G102" t="s">
        <v>6</v>
      </c>
      <c r="H102" s="4" t="str">
        <f>PROPER(Table_KaggleV2_May_2016[[#This Row],[Neighbourhood2]])</f>
        <v>Andorinhas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 t="s">
        <v>5</v>
      </c>
    </row>
    <row r="103" spans="1:15" x14ac:dyDescent="0.25">
      <c r="A103" s="2">
        <v>9739429797896</v>
      </c>
      <c r="B103">
        <v>5747809</v>
      </c>
      <c r="C103" t="s">
        <v>39</v>
      </c>
      <c r="D103" s="1">
        <v>42520</v>
      </c>
      <c r="E103" s="1">
        <v>42521</v>
      </c>
      <c r="F103" s="3">
        <v>100</v>
      </c>
      <c r="G103" t="s">
        <v>10</v>
      </c>
      <c r="H103" s="4" t="str">
        <f>PROPER(Table_KaggleV2_May_2016[[#This Row],[Neighbourhood2]])</f>
        <v>Tabuazeiro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 t="s">
        <v>1</v>
      </c>
    </row>
    <row r="104" spans="1:15" x14ac:dyDescent="0.25">
      <c r="A104" s="2">
        <v>36615771819</v>
      </c>
      <c r="B104">
        <v>5775674</v>
      </c>
      <c r="C104" t="s">
        <v>38</v>
      </c>
      <c r="D104" s="1">
        <v>42527</v>
      </c>
      <c r="E104" s="1">
        <v>42527</v>
      </c>
      <c r="F104" s="3">
        <v>99</v>
      </c>
      <c r="G104" t="s">
        <v>26</v>
      </c>
      <c r="H104" s="4" t="str">
        <f>PROPER(Table_KaggleV2_May_2016[[#This Row],[Neighbourhood2]])</f>
        <v>Santo Antônio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 t="s">
        <v>1</v>
      </c>
    </row>
    <row r="105" spans="1:15" x14ac:dyDescent="0.25">
      <c r="D105" s="1"/>
      <c r="E105" s="1"/>
      <c r="G105" t="s">
        <v>37</v>
      </c>
    </row>
    <row r="106" spans="1:15" x14ac:dyDescent="0.25">
      <c r="A106"/>
      <c r="F106"/>
      <c r="H106"/>
    </row>
    <row r="107" spans="1:15" x14ac:dyDescent="0.25">
      <c r="A107"/>
      <c r="F107"/>
      <c r="H107"/>
    </row>
    <row r="108" spans="1:15" x14ac:dyDescent="0.25">
      <c r="A108"/>
      <c r="F108"/>
      <c r="H108"/>
    </row>
    <row r="109" spans="1:15" x14ac:dyDescent="0.25">
      <c r="A109"/>
      <c r="F109"/>
      <c r="H109"/>
    </row>
    <row r="110" spans="1:15" x14ac:dyDescent="0.25">
      <c r="A110"/>
      <c r="F110"/>
      <c r="H110"/>
    </row>
    <row r="111" spans="1:15" x14ac:dyDescent="0.25">
      <c r="A111"/>
      <c r="F111"/>
      <c r="H111"/>
    </row>
    <row r="112" spans="1:15" x14ac:dyDescent="0.25">
      <c r="A112"/>
      <c r="F112"/>
      <c r="H11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A6BB-C54F-4D94-9D42-A7CCA7CED8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CD993-3F39-4BF1-9DB6-4E257FCFCB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2026-02-12T06:08:22Z</dcterms:created>
  <dcterms:modified xsi:type="dcterms:W3CDTF">2026-02-12T06:54:55Z</dcterms:modified>
</cp:coreProperties>
</file>